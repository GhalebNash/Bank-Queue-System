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heet\Downloads\"/>
    </mc:Choice>
  </mc:AlternateContent>
  <xr:revisionPtr revIDLastSave="0" documentId="8_{E8E4642F-18E3-4913-BF7C-4B47B1D2C1FC}" xr6:coauthVersionLast="47" xr6:coauthVersionMax="47" xr10:uidLastSave="{00000000-0000-0000-0000-000000000000}"/>
  <bookViews>
    <workbookView xWindow="-108" yWindow="-108" windowWidth="23256" windowHeight="12456" tabRatio="718" xr2:uid="{52B3FC2F-F893-4651-BD7A-25F281E4F7F3}"/>
  </bookViews>
  <sheets>
    <sheet name="Token" sheetId="8" r:id="rId1"/>
    <sheet name="Transaction_log" sheetId="2" r:id="rId2"/>
    <sheet name="Counter_System" sheetId="11" r:id="rId3"/>
    <sheet name="Wall_Screen" sheetId="10" r:id="rId4"/>
    <sheet name="Admin" sheetId="5" r:id="rId5"/>
    <sheet name="Performance_Report" sheetId="6" r:id="rId6"/>
    <sheet name="counter1_time called" sheetId="13" r:id="rId7"/>
  </sheets>
  <definedNames>
    <definedName name="_xlnm._FilterDatabase" localSheetId="1" hidden="1">Transaction_log!$A$1:$E$1</definedName>
    <definedName name="_xleta.COUNT" hidden="1" xlm="1">#NAME?</definedName>
    <definedName name="_xleta.IFERROR" hidden="1" xlm="1">#NAME?</definedName>
    <definedName name="_xleta.INDEX" hidden="1" xlm="1">#NAME?</definedName>
    <definedName name="_xleta.N" hidden="1" xlm="1">#NAME?</definedName>
    <definedName name="_xleta.T" hidden="1" xlm="1">#NAME?</definedName>
    <definedName name="Token_Numbe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/>
  <c r="B4" i="11" a="1"/>
  <c r="B4" i="11" s="1"/>
  <c r="B13" i="11"/>
  <c r="B12" i="11" a="1"/>
  <c r="B12" i="11" s="1"/>
  <c r="B23" i="11"/>
  <c r="B22" i="11" a="1"/>
  <c r="B22" i="11" s="1"/>
  <c r="E17" i="8"/>
  <c r="E15" i="8"/>
  <c r="M14" i="8" s="1"/>
  <c r="B6" i="6"/>
  <c r="B5" i="6"/>
  <c r="B4" i="6"/>
  <c r="E18" i="8" l="1"/>
  <c r="E19" i="8" s="1"/>
  <c r="J2" i="10"/>
  <c r="C2" i="10" l="1"/>
  <c r="B2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<sst xmlns="http://schemas.openxmlformats.org/spreadsheetml/2006/main" count="46" uniqueCount="30">
  <si>
    <t>CATEGORY</t>
  </si>
  <si>
    <t>TOKEN ISSUED</t>
  </si>
  <si>
    <t>TOKEN NUMBER</t>
  </si>
  <si>
    <t>STATUS</t>
  </si>
  <si>
    <t xml:space="preserve">GET YOUR TOKEN NUMBER HERE </t>
  </si>
  <si>
    <t>REQUEST CATEGORY</t>
  </si>
  <si>
    <t>NUMBER OF PEOPLE AHEAD</t>
  </si>
  <si>
    <t xml:space="preserve">BANK OF AUS </t>
  </si>
  <si>
    <t>Token Number</t>
  </si>
  <si>
    <t>COUNTER NUMBER</t>
  </si>
  <si>
    <t>THNAK YOU FOR WAITING!</t>
  </si>
  <si>
    <t xml:space="preserve"> TIME CALLED</t>
  </si>
  <si>
    <t xml:space="preserve">NOW SERVING </t>
  </si>
  <si>
    <t>TIME CALLED</t>
  </si>
  <si>
    <t>EXPECTED WAIT TIME</t>
  </si>
  <si>
    <t>DAILY PERFORMANCE REPORT</t>
  </si>
  <si>
    <t xml:space="preserve">COUNTER </t>
  </si>
  <si>
    <t xml:space="preserve">TOTAL TOKENS SERVED </t>
  </si>
  <si>
    <t xml:space="preserve">Waiting </t>
  </si>
  <si>
    <t>TIME</t>
  </si>
  <si>
    <t>COUNTER 1</t>
  </si>
  <si>
    <t>COUNTER 2</t>
  </si>
  <si>
    <t>COUNTER 3</t>
  </si>
  <si>
    <t>TOKEN NUMBER TO BE CALLED</t>
  </si>
  <si>
    <t xml:space="preserve">Counter </t>
  </si>
  <si>
    <t>Token</t>
  </si>
  <si>
    <t>Time called</t>
  </si>
  <si>
    <t/>
  </si>
  <si>
    <t xml:space="preserve"> </t>
  </si>
  <si>
    <t>AVERAGE WAIT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</si>
</sst>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[$-F400]h:mm:ss\ AM/PM"/>
    <numFmt numFmtId="166" formatCode="[$-10409]h:mm:ss\ AM/PM;@"/>
    <numFmt numFmtId="167" formatCode="[$-409]h:mm:ss\ AM/PM;@"/>
    <numFmt numFmtId="168" formatCode="[$-F800]dddd\,\ mmmm\ dd\,\ yyyy"/>
  </numFmts>
  <fonts count="27" x14ac:knownFonts="1">
    <font>
      <sz val="11"/>
      <color theme="1"/>
      <name val="Aptos Narrow"/>
      <family val="2"/>
      <scheme val="minor"/>
    </font>
    <font>
      <sz val="36"/>
      <color rgb="FFFF0000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i/>
      <sz val="16"/>
      <color rgb="FF9C0006"/>
      <name val="Aptos Narrow"/>
      <family val="2"/>
      <scheme val="minor"/>
    </font>
    <font>
      <sz val="36"/>
      <color rgb="FF9C0006"/>
      <name val="Aptos Narrow"/>
      <family val="2"/>
      <scheme val="minor"/>
    </font>
    <font>
      <sz val="14"/>
      <name val="Aptos Narrow"/>
      <family val="2"/>
      <scheme val="minor"/>
    </font>
    <font>
      <sz val="11"/>
      <name val="Aptos Narrow"/>
      <family val="2"/>
      <scheme val="minor"/>
    </font>
    <font>
      <i/>
      <sz val="1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20"/>
      <color rgb="FF333399"/>
      <name val="Aptos Narrow"/>
      <family val="2"/>
    </font>
    <font>
      <b/>
      <sz val="11"/>
      <color rgb="FF333399"/>
      <name val="Aptos Narrow"/>
      <family val="2"/>
    </font>
    <font>
      <sz val="11"/>
      <color rgb="FF000000"/>
      <name val="Aptos Narrow"/>
      <family val="2"/>
    </font>
    <font>
      <b/>
      <sz val="15"/>
      <color theme="3"/>
      <name val="Aptos Narrow"/>
      <family val="2"/>
      <scheme val="minor"/>
    </font>
    <font>
      <b/>
      <sz val="20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26"/>
      <color theme="0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36"/>
      <color theme="0"/>
      <name val="Aptos Narrow"/>
      <family val="2"/>
      <scheme val="minor"/>
    </font>
    <font>
      <sz val="22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  <xf numFmtId="0" fontId="2" fillId="2" borderId="4">
      <alignment horizontal="center"/>
    </xf>
    <xf numFmtId="0" fontId="6" fillId="5" borderId="0" applyNumberFormat="0" applyBorder="0" applyAlignment="0" applyProtection="0"/>
    <xf numFmtId="0" fontId="13" fillId="6" borderId="1" applyNumberFormat="0" applyAlignment="0" applyProtection="0"/>
    <xf numFmtId="0" fontId="12" fillId="7" borderId="0" applyNumberFormat="0" applyBorder="0" applyAlignment="0" applyProtection="0"/>
    <xf numFmtId="0" fontId="17" fillId="0" borderId="5" applyNumberFormat="0" applyFill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</cellStyleXfs>
  <cellXfs count="44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2" borderId="0" xfId="1" applyAlignment="1"/>
    <xf numFmtId="0" fontId="5" fillId="4" borderId="3" xfId="4" applyAlignment="1"/>
    <xf numFmtId="0" fontId="4" fillId="3" borderId="1" xfId="3" applyAlignment="1"/>
    <xf numFmtId="0" fontId="4" fillId="3" borderId="1" xfId="3"/>
    <xf numFmtId="0" fontId="6" fillId="5" borderId="0" xfId="6"/>
    <xf numFmtId="0" fontId="6" fillId="5" borderId="0" xfId="6" applyAlignment="1">
      <alignment horizontal="center"/>
    </xf>
    <xf numFmtId="0" fontId="10" fillId="5" borderId="0" xfId="6" applyFont="1"/>
    <xf numFmtId="0" fontId="5" fillId="4" borderId="3" xfId="4"/>
    <xf numFmtId="0" fontId="11" fillId="5" borderId="0" xfId="6" applyFont="1"/>
    <xf numFmtId="165" fontId="0" fillId="0" borderId="0" xfId="0" applyNumberFormat="1"/>
    <xf numFmtId="0" fontId="3" fillId="3" borderId="2" xfId="2" applyNumberFormat="1" applyAlignment="1"/>
    <xf numFmtId="0" fontId="10" fillId="5" borderId="0" xfId="6" applyFont="1" applyAlignment="1"/>
    <xf numFmtId="165" fontId="9" fillId="5" borderId="0" xfId="6" applyNumberFormat="1" applyFont="1" applyAlignment="1"/>
    <xf numFmtId="0" fontId="9" fillId="5" borderId="0" xfId="6" applyFont="1" applyAlignment="1"/>
    <xf numFmtId="0" fontId="17" fillId="0" borderId="5" xfId="9"/>
    <xf numFmtId="0" fontId="18" fillId="0" borderId="5" xfId="9" quotePrefix="1" applyFont="1"/>
    <xf numFmtId="0" fontId="0" fillId="0" borderId="6" xfId="0" applyBorder="1" applyAlignment="1">
      <alignment horizontal="center"/>
    </xf>
    <xf numFmtId="0" fontId="3" fillId="3" borderId="7" xfId="2" applyBorder="1"/>
    <xf numFmtId="166" fontId="0" fillId="0" borderId="0" xfId="0" applyNumberFormat="1"/>
    <xf numFmtId="167" fontId="3" fillId="3" borderId="2" xfId="2" applyNumberFormat="1" applyAlignment="1"/>
    <xf numFmtId="0" fontId="18" fillId="0" borderId="5" xfId="9" applyFont="1"/>
    <xf numFmtId="0" fontId="21" fillId="0" borderId="0" xfId="0" applyFont="1"/>
    <xf numFmtId="0" fontId="23" fillId="10" borderId="0" xfId="12" applyFont="1"/>
    <xf numFmtId="168" fontId="23" fillId="0" borderId="0" xfId="0" applyNumberFormat="1" applyFont="1"/>
    <xf numFmtId="165" fontId="23" fillId="0" borderId="0" xfId="0" applyNumberFormat="1" applyFont="1"/>
    <xf numFmtId="0" fontId="25" fillId="8" borderId="0" xfId="10" applyFont="1" applyAlignment="1">
      <alignment horizontal="center"/>
    </xf>
    <xf numFmtId="0" fontId="19" fillId="8" borderId="2" xfId="10" applyBorder="1"/>
    <xf numFmtId="166" fontId="19" fillId="8" borderId="2" xfId="10" applyNumberFormat="1" applyBorder="1"/>
    <xf numFmtId="167" fontId="0" fillId="0" borderId="0" xfId="0" applyNumberFormat="1"/>
    <xf numFmtId="0" fontId="23" fillId="0" borderId="0" xfId="0" applyFont="1"/>
    <xf numFmtId="0" fontId="23" fillId="9" borderId="0" xfId="11" applyFont="1"/>
    <xf numFmtId="166" fontId="5" fillId="4" borderId="3" xfId="4" applyNumberFormat="1"/>
    <xf numFmtId="45" fontId="19" fillId="8" borderId="2" xfId="10" applyNumberFormat="1" applyBorder="1"/>
    <xf numFmtId="45" fontId="0" fillId="0" borderId="0" xfId="0" applyNumberFormat="1"/>
    <xf numFmtId="45" fontId="3" fillId="3" borderId="2" xfId="2" applyNumberFormat="1" applyAlignment="1"/>
    <xf numFmtId="0" fontId="26" fillId="8" borderId="0" xfId="10" applyFont="1"/>
    <xf numFmtId="45" fontId="20" fillId="10" borderId="0" xfId="12" applyNumberFormat="1" applyFont="1"/>
    <xf numFmtId="0" fontId="7" fillId="5" borderId="0" xfId="6" applyFont="1" applyAlignment="1">
      <alignment horizontal="center"/>
    </xf>
    <xf numFmtId="0" fontId="9" fillId="5" borderId="0" xfId="6" applyFont="1" applyAlignment="1">
      <alignment horizontal="center"/>
    </xf>
    <xf numFmtId="0" fontId="8" fillId="5" borderId="0" xfId="6" applyFont="1" applyAlignment="1">
      <alignment horizontal="center"/>
    </xf>
    <xf numFmtId="0" fontId="22" fillId="8" borderId="0" xfId="10" applyFont="1" applyAlignment="1">
      <alignment horizontal="center"/>
    </xf>
  </cellXfs>
  <cellStyles count="13">
    <cellStyle name="20% - Accent3 2" xfId="8" xr:uid="{C1335915-009F-C74A-BCCF-033E4556DA10}"/>
    <cellStyle name="40% - Accent2" xfId="11" builtinId="35"/>
    <cellStyle name="60% - Accent2" xfId="12" builtinId="36"/>
    <cellStyle name="Accent2" xfId="10" builtinId="33"/>
    <cellStyle name="Bad" xfId="6" builtinId="27"/>
    <cellStyle name="Calculation" xfId="3" builtinId="22"/>
    <cellStyle name="Check Cell" xfId="4" builtinId="23"/>
    <cellStyle name="Good" xfId="1" builtinId="26"/>
    <cellStyle name="Heading 1" xfId="9" builtinId="16"/>
    <cellStyle name="Input 2" xfId="7" xr:uid="{96FE3D63-1287-0044-BA13-7FC11E47F908}"/>
    <cellStyle name="Normal" xfId="0" builtinId="0"/>
    <cellStyle name="Output" xfId="2" builtinId="21"/>
    <cellStyle name="Style 1" xfId="5" xr:uid="{1D3EA137-BA6D-45F2-8B8A-2B2DD0128092}"/>
  </cellStyles>
  <dxfs count="5"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3F3F3F"/>
        </top>
        <bottom/>
        <vertical/>
        <horizontal/>
      </border>
    </dxf>
    <dxf>
      <border outline="0">
        <top style="thin">
          <color rgb="FF3F3F3F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rgb="FF3F3F3F"/>
        </bottom>
      </border>
    </dxf>
    <dxf>
      <border diagonalUp="0" diagonalDown="0" outline="0">
        <left style="thin">
          <color rgb="FF3F3F3F"/>
        </left>
        <right style="thin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Performance_Report!$B$3</c:f>
              <c:strCache>
                <c:ptCount val="1"/>
                <c:pt idx="0">
                  <c:v>TOTAL TOKENS SERVED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Performance_Report!$B$4:$B$6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B-4171-9833-5C97A3144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8854320"/>
        <c:axId val="18888605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Performance_Report!$A$3</c15:sqref>
                        </c15:formulaRef>
                      </c:ext>
                    </c:extLst>
                    <c:strCache>
                      <c:ptCount val="1"/>
                      <c:pt idx="0">
                        <c:v>COUNTER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Performance_Report!$A$4:$A$6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9DB-4171-9833-5C97A3144579}"/>
                  </c:ext>
                </c:extLst>
              </c15:ser>
            </c15:filteredBarSeries>
          </c:ext>
        </c:extLst>
      </c:barChart>
      <c:catAx>
        <c:axId val="188885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COUNTERS</a:t>
                </a:r>
              </a:p>
            </c:rich>
          </c:tx>
          <c:layout>
            <c:manualLayout>
              <c:xMode val="edge"/>
              <c:yMode val="edge"/>
              <c:x val="0.39382524059492557"/>
              <c:y val="0.772777048702245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60560"/>
        <c:crosses val="autoZero"/>
        <c:auto val="1"/>
        <c:lblAlgn val="ctr"/>
        <c:lblOffset val="100"/>
        <c:noMultiLvlLbl val="0"/>
      </c:catAx>
      <c:valAx>
        <c:axId val="1888860560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NO.OF</a:t>
                </a:r>
                <a:r>
                  <a:rPr lang="en-US" baseline="0"/>
                  <a:t> TOKENS SERVED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0.18885790317876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5432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15240</xdr:rowOff>
        </xdr:from>
        <xdr:to>
          <xdr:col>7</xdr:col>
          <xdr:colOff>594360</xdr:colOff>
          <xdr:row>11</xdr:row>
          <xdr:rowOff>38100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0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E" sz="2000" b="1" i="0" u="none" strike="noStrike" baseline="0">
                  <a:solidFill>
                    <a:srgbClr val="333399"/>
                  </a:solidFill>
                  <a:latin typeface="Aptos Narrow"/>
                </a:rPr>
                <a:t>Get Your Token</a:t>
              </a:r>
              <a:r>
                <a:rPr lang="en-AE" sz="1100" b="1" i="0" u="none" strike="noStrike" baseline="0">
                  <a:solidFill>
                    <a:srgbClr val="333399"/>
                  </a:solidFill>
                  <a:latin typeface="Aptos Narrow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2004060</xdr:colOff>
          <xdr:row>5</xdr:row>
          <xdr:rowOff>0</xdr:rowOff>
        </xdr:from>
        <xdr:to>
          <xdr:col>2</xdr:col>
          <xdr:colOff>45720</xdr:colOff>
          <xdr:row>7</xdr:row>
          <xdr:rowOff>22860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2004060</xdr:colOff>
          <xdr:row>12</xdr:row>
          <xdr:rowOff>175260</xdr:rowOff>
        </xdr:from>
        <xdr:to>
          <xdr:col>2</xdr:col>
          <xdr:colOff>0</xdr:colOff>
          <xdr:row>15</xdr:row>
          <xdr:rowOff>137160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4801</xdr:colOff>
          <xdr:row>23</xdr:row>
          <xdr:rowOff>127243</xdr:rowOff>
        </xdr:from>
        <xdr:to>
          <xdr:col>2</xdr:col>
          <xdr:colOff>208768</xdr:colOff>
          <xdr:row>25</xdr:row>
          <xdr:rowOff>146136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CUSTOMER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52892</xdr:colOff>
          <xdr:row>1</xdr:row>
          <xdr:rowOff>34514</xdr:rowOff>
        </xdr:from>
        <xdr:to>
          <xdr:col>3</xdr:col>
          <xdr:colOff>242047</xdr:colOff>
          <xdr:row>4</xdr:row>
          <xdr:rowOff>7620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AE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466651</xdr:colOff>
      <xdr:row>2</xdr:row>
      <xdr:rowOff>17719</xdr:rowOff>
    </xdr:from>
    <xdr:to>
      <xdr:col>9</xdr:col>
      <xdr:colOff>425302</xdr:colOff>
      <xdr:row>16</xdr:row>
      <xdr:rowOff>33668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A35F84-B880-1295-1B61-CFF72895D2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BDA78C-348E-443D-8132-E50B40E8BD50}" name="Table2" displayName="Table2" ref="A3:B6" totalsRowShown="0" headerRowDxfId="4" dataDxfId="2" headerRowBorderDxfId="3" tableBorderDxfId="1" headerRowCellStyle="Output">
  <autoFilter ref="A3:B6" xr:uid="{18BDA78C-348E-443D-8132-E50B40E8BD50}">
    <filterColumn colId="0" hiddenButton="1"/>
    <filterColumn colId="1" hiddenButton="1"/>
  </autoFilter>
  <tableColumns count="2">
    <tableColumn id="1" xr3:uid="{175A7575-60E8-410F-B392-A339EDBB27CF}" name="COUNTER "/>
    <tableColumn id="2" xr3:uid="{B7C4455B-E325-4F17-9CFD-E7D3205628DA}" name="TOTAL TOKENS SERVED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FC342-B896-4FCD-B71B-4F7DAD17AB37}">
  <sheetPr codeName="Sheet7"/>
  <dimension ref="A1:O21"/>
  <sheetViews>
    <sheetView tabSelected="1" zoomScale="73" zoomScaleNormal="73" workbookViewId="0">
      <selection activeCell="M18" sqref="M18"/>
    </sheetView>
  </sheetViews>
  <sheetFormatPr defaultColWidth="8.77734375" defaultRowHeight="14.4" x14ac:dyDescent="0.3"/>
  <cols>
    <col min="3" max="3" width="8.77734375" customWidth="1"/>
    <col min="4" max="4" width="16" customWidth="1"/>
    <col min="5" max="5" width="16.109375" customWidth="1"/>
    <col min="6" max="6" width="8.77734375" customWidth="1"/>
    <col min="11" max="11" width="7.44140625" customWidth="1"/>
    <col min="12" max="12" width="12.6640625" customWidth="1"/>
    <col min="13" max="13" width="15.88671875" customWidth="1"/>
  </cols>
  <sheetData>
    <row r="1" spans="1:15" ht="47.4" x14ac:dyDescent="0.9">
      <c r="A1" s="1" t="s">
        <v>4</v>
      </c>
    </row>
    <row r="6" spans="1:15" ht="15" thickBot="1" x14ac:dyDescent="0.35"/>
    <row r="7" spans="1:15" ht="15.6" thickTop="1" thickBot="1" x14ac:dyDescent="0.35">
      <c r="C7" s="4" t="s">
        <v>5</v>
      </c>
      <c r="D7" s="4"/>
      <c r="E7" s="3"/>
    </row>
    <row r="8" spans="1:15" ht="15" thickTop="1" x14ac:dyDescent="0.3"/>
    <row r="10" spans="1:15" x14ac:dyDescent="0.3">
      <c r="L10" s="7"/>
      <c r="M10" s="7"/>
      <c r="N10" s="7"/>
      <c r="O10" s="7"/>
    </row>
    <row r="11" spans="1:15" ht="21" x14ac:dyDescent="0.4">
      <c r="L11" s="8"/>
      <c r="M11" s="40" t="s">
        <v>7</v>
      </c>
      <c r="N11" s="40"/>
      <c r="O11" s="7"/>
    </row>
    <row r="12" spans="1:15" x14ac:dyDescent="0.3">
      <c r="L12" s="7"/>
      <c r="M12" s="7"/>
      <c r="N12" s="7"/>
      <c r="O12" s="7"/>
    </row>
    <row r="13" spans="1:15" ht="18" x14ac:dyDescent="0.35">
      <c r="L13" s="7"/>
      <c r="M13" s="41" t="s">
        <v>8</v>
      </c>
      <c r="N13" s="41"/>
      <c r="O13" s="7"/>
    </row>
    <row r="14" spans="1:15" x14ac:dyDescent="0.3">
      <c r="L14" s="7"/>
      <c r="M14" s="42">
        <f>E15</f>
        <v>1</v>
      </c>
      <c r="N14" s="42"/>
      <c r="O14" s="7"/>
    </row>
    <row r="15" spans="1:15" ht="18" customHeight="1" x14ac:dyDescent="0.3">
      <c r="C15" s="5" t="s">
        <v>2</v>
      </c>
      <c r="D15" s="5"/>
      <c r="E15" s="13">
        <f>MAX(Transaction_log!A3)+1</f>
        <v>1</v>
      </c>
      <c r="L15" s="7"/>
      <c r="M15" s="42"/>
      <c r="N15" s="42"/>
      <c r="O15" s="7"/>
    </row>
    <row r="16" spans="1:15" x14ac:dyDescent="0.3">
      <c r="C16" s="5" t="s">
        <v>0</v>
      </c>
      <c r="D16" s="5"/>
      <c r="E16" s="13"/>
      <c r="L16" s="7"/>
      <c r="M16" s="42"/>
      <c r="N16" s="42"/>
      <c r="O16" s="7"/>
    </row>
    <row r="17" spans="3:15" ht="18" x14ac:dyDescent="0.35">
      <c r="C17" s="5" t="s">
        <v>1</v>
      </c>
      <c r="D17" s="5"/>
      <c r="E17" s="22">
        <f ca="1">NOW()</f>
        <v>45853.197604398149</v>
      </c>
      <c r="L17" s="9" t="s">
        <v>1</v>
      </c>
      <c r="M17" s="15"/>
      <c r="N17" s="16"/>
      <c r="O17" s="7"/>
    </row>
    <row r="18" spans="3:15" x14ac:dyDescent="0.3">
      <c r="C18" s="5" t="s">
        <v>6</v>
      </c>
      <c r="D18" s="6"/>
      <c r="E18" s="13">
        <f>COUNTIF(Transaction_log!E:E,"Waiting")</f>
        <v>0</v>
      </c>
      <c r="L18" s="9" t="s">
        <v>0</v>
      </c>
      <c r="M18" s="14"/>
      <c r="N18" s="14"/>
      <c r="O18" s="7"/>
    </row>
    <row r="19" spans="3:15" x14ac:dyDescent="0.3">
      <c r="C19" s="5" t="s">
        <v>14</v>
      </c>
      <c r="D19" s="6"/>
      <c r="E19" s="37" t="str">
        <f>IFERROR(AVERAGE(Transaction_log!F:F)*Token!E18," ")</f>
        <v xml:space="preserve"> </v>
      </c>
      <c r="L19" s="7"/>
      <c r="M19" s="7"/>
      <c r="N19" s="7"/>
      <c r="O19" s="7"/>
    </row>
    <row r="20" spans="3:15" x14ac:dyDescent="0.3">
      <c r="L20" s="7"/>
      <c r="M20" s="7"/>
      <c r="N20" s="7"/>
      <c r="O20" s="7"/>
    </row>
    <row r="21" spans="3:15" ht="23.4" x14ac:dyDescent="0.45">
      <c r="L21" s="11" t="s">
        <v>10</v>
      </c>
      <c r="M21" s="7"/>
      <c r="N21" s="7"/>
      <c r="O21" s="7"/>
    </row>
  </sheetData>
  <mergeCells count="3">
    <mergeCell ref="M11:N11"/>
    <mergeCell ref="M13:N13"/>
    <mergeCell ref="M14:N16"/>
  </mergeCells>
  <dataValidations count="2">
    <dataValidation type="list" allowBlank="1" showInputMessage="1" showErrorMessage="1" sqref="D7" xr:uid="{06B8575E-490E-458B-BBE7-A4A46A09F644}">
      <formula1>"VIP,New Account,General Inquiry,Billing &amp; Payments,Customer Service"</formula1>
    </dataValidation>
    <dataValidation type="list" allowBlank="1" showInputMessage="1" showErrorMessage="1" sqref="E7" xr:uid="{720C46FF-6138-4AE0-94B7-D2CC59F46B3F}">
      <formula1>"VIP,General Inquiry,New Account, Customer Service,Billing &amp; Payments"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0" r:id="rId3" name="Button 28">
              <controlPr defaultSize="0" print="0" autoFill="0" autoPict="0" macro="[0]!Macro20">
                <anchor moveWithCells="1" sizeWithCells="1">
                  <from>
                    <xdr:col>5</xdr:col>
                    <xdr:colOff>0</xdr:colOff>
                    <xdr:row>8</xdr:row>
                    <xdr:rowOff>15240</xdr:rowOff>
                  </from>
                  <to>
                    <xdr:col>7</xdr:col>
                    <xdr:colOff>594360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798E-89F6-40F8-885D-57949EFE3A72}">
  <sheetPr codeName="Sheet2"/>
  <dimension ref="A1:M74"/>
  <sheetViews>
    <sheetView zoomScale="105" workbookViewId="0">
      <selection activeCell="A2" sqref="A2"/>
    </sheetView>
  </sheetViews>
  <sheetFormatPr defaultColWidth="8.77734375" defaultRowHeight="14.4" x14ac:dyDescent="0.3"/>
  <cols>
    <col min="1" max="1" width="14.77734375" customWidth="1"/>
    <col min="2" max="2" width="16.6640625" customWidth="1"/>
    <col min="3" max="3" width="22.77734375" style="21" customWidth="1"/>
    <col min="4" max="4" width="13.77734375" style="21" customWidth="1"/>
    <col min="6" max="6" width="20.21875" style="36" customWidth="1"/>
    <col min="7" max="7" width="17.44140625" customWidth="1"/>
    <col min="8" max="8" width="14.88671875" bestFit="1" customWidth="1"/>
  </cols>
  <sheetData>
    <row r="1" spans="1:7" x14ac:dyDescent="0.3">
      <c r="A1" s="29" t="s">
        <v>2</v>
      </c>
      <c r="B1" s="29" t="s">
        <v>0</v>
      </c>
      <c r="C1" s="30" t="s">
        <v>1</v>
      </c>
      <c r="D1" s="30" t="s">
        <v>11</v>
      </c>
      <c r="E1" s="29" t="s">
        <v>3</v>
      </c>
      <c r="F1" s="35" t="s">
        <v>14</v>
      </c>
      <c r="G1" s="29" t="s">
        <v>9</v>
      </c>
    </row>
    <row r="2" spans="1:7" x14ac:dyDescent="0.3">
      <c r="D2" s="12"/>
    </row>
    <row r="3" spans="1:7" x14ac:dyDescent="0.3">
      <c r="D3" s="12"/>
    </row>
    <row r="4" spans="1:7" x14ac:dyDescent="0.3">
      <c r="D4" s="12"/>
    </row>
    <row r="5" spans="1:7" x14ac:dyDescent="0.3">
      <c r="D5" s="12"/>
    </row>
    <row r="6" spans="1:7" x14ac:dyDescent="0.3">
      <c r="D6" s="12"/>
    </row>
    <row r="7" spans="1:7" x14ac:dyDescent="0.3">
      <c r="D7" s="12"/>
    </row>
    <row r="8" spans="1:7" x14ac:dyDescent="0.3">
      <c r="D8" s="12"/>
    </row>
    <row r="9" spans="1:7" x14ac:dyDescent="0.3">
      <c r="D9" s="12"/>
    </row>
    <row r="10" spans="1:7" x14ac:dyDescent="0.3">
      <c r="D10" s="12"/>
    </row>
    <row r="11" spans="1:7" x14ac:dyDescent="0.3">
      <c r="D11" s="12"/>
    </row>
    <row r="12" spans="1:7" x14ac:dyDescent="0.3">
      <c r="D12" s="12"/>
    </row>
    <row r="13" spans="1:7" x14ac:dyDescent="0.3">
      <c r="D13" s="12"/>
    </row>
    <row r="14" spans="1:7" x14ac:dyDescent="0.3">
      <c r="D14" s="12"/>
    </row>
    <row r="15" spans="1:7" x14ac:dyDescent="0.3">
      <c r="D15" s="12"/>
    </row>
    <row r="16" spans="1:7" x14ac:dyDescent="0.3">
      <c r="D16" s="12"/>
    </row>
    <row r="17" spans="4:4" x14ac:dyDescent="0.3">
      <c r="D17" s="12"/>
    </row>
    <row r="18" spans="4:4" x14ac:dyDescent="0.3">
      <c r="D18" s="12"/>
    </row>
    <row r="19" spans="4:4" x14ac:dyDescent="0.3">
      <c r="D19" s="12"/>
    </row>
    <row r="20" spans="4:4" x14ac:dyDescent="0.3">
      <c r="D20" s="12"/>
    </row>
    <row r="21" spans="4:4" x14ac:dyDescent="0.3">
      <c r="D21" s="12"/>
    </row>
    <row r="22" spans="4:4" x14ac:dyDescent="0.3">
      <c r="D22" s="12"/>
    </row>
    <row r="23" spans="4:4" x14ac:dyDescent="0.3">
      <c r="D23" s="12"/>
    </row>
    <row r="24" spans="4:4" x14ac:dyDescent="0.3">
      <c r="D24" s="12"/>
    </row>
    <row r="25" spans="4:4" x14ac:dyDescent="0.3">
      <c r="D25" s="12"/>
    </row>
    <row r="26" spans="4:4" x14ac:dyDescent="0.3">
      <c r="D26" s="12"/>
    </row>
    <row r="27" spans="4:4" x14ac:dyDescent="0.3">
      <c r="D27" s="12"/>
    </row>
    <row r="28" spans="4:4" x14ac:dyDescent="0.3">
      <c r="D28" s="12"/>
    </row>
    <row r="29" spans="4:4" x14ac:dyDescent="0.3">
      <c r="D29" s="12"/>
    </row>
    <row r="30" spans="4:4" x14ac:dyDescent="0.3">
      <c r="D30" s="12"/>
    </row>
    <row r="31" spans="4:4" x14ac:dyDescent="0.3">
      <c r="D31"/>
    </row>
    <row r="32" spans="4:4" x14ac:dyDescent="0.3">
      <c r="D32"/>
    </row>
    <row r="33" spans="1:4" x14ac:dyDescent="0.3">
      <c r="D33"/>
    </row>
    <row r="34" spans="1:4" x14ac:dyDescent="0.3">
      <c r="D34"/>
    </row>
    <row r="35" spans="1:4" x14ac:dyDescent="0.3">
      <c r="D35"/>
    </row>
    <row r="36" spans="1:4" x14ac:dyDescent="0.3">
      <c r="D36"/>
    </row>
    <row r="37" spans="1:4" x14ac:dyDescent="0.3">
      <c r="D37"/>
    </row>
    <row r="38" spans="1:4" x14ac:dyDescent="0.3">
      <c r="D38"/>
    </row>
    <row r="39" spans="1:4" x14ac:dyDescent="0.3">
      <c r="D39"/>
    </row>
    <row r="40" spans="1:4" x14ac:dyDescent="0.3">
      <c r="D40"/>
    </row>
    <row r="41" spans="1:4" x14ac:dyDescent="0.3">
      <c r="D41"/>
    </row>
    <row r="42" spans="1:4" x14ac:dyDescent="0.3">
      <c r="D42"/>
    </row>
    <row r="43" spans="1:4" x14ac:dyDescent="0.3">
      <c r="A43" s="2"/>
    </row>
    <row r="44" spans="1:4" x14ac:dyDescent="0.3">
      <c r="A44" s="2"/>
    </row>
    <row r="74" spans="13:13" x14ac:dyDescent="0.3">
      <c r="M74" t="s">
        <v>18</v>
      </c>
    </row>
  </sheetData>
  <sortState xmlns:xlrd2="http://schemas.microsoft.com/office/spreadsheetml/2017/richdata2" ref="A43:G74">
    <sortCondition descending="1" ref="A1:A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050BB-6C95-4FF1-A687-A71230F290F3}">
  <sheetPr codeName="Sheet8"/>
  <dimension ref="A1:X43"/>
  <sheetViews>
    <sheetView zoomScale="73" zoomScaleNormal="76" workbookViewId="0">
      <selection activeCell="D25" sqref="D25"/>
    </sheetView>
  </sheetViews>
  <sheetFormatPr defaultRowHeight="14.4" x14ac:dyDescent="0.3"/>
  <cols>
    <col min="1" max="1" width="29.21875" customWidth="1"/>
    <col min="2" max="2" width="17.77734375" customWidth="1"/>
    <col min="24" max="24" width="10.109375" bestFit="1" customWidth="1"/>
  </cols>
  <sheetData>
    <row r="1" spans="1:24" ht="26.4" thickBot="1" x14ac:dyDescent="0.55000000000000004">
      <c r="A1" s="23" t="s">
        <v>20</v>
      </c>
      <c r="B1" s="23"/>
    </row>
    <row r="2" spans="1:24" ht="15.6" thickTop="1" thickBot="1" x14ac:dyDescent="0.35">
      <c r="X2" s="12"/>
    </row>
    <row r="3" spans="1:24" ht="15.6" thickTop="1" thickBot="1" x14ac:dyDescent="0.35">
      <c r="A3" s="10" t="s">
        <v>0</v>
      </c>
      <c r="B3" s="3"/>
    </row>
    <row r="4" spans="1:24" ht="15.6" thickTop="1" thickBot="1" x14ac:dyDescent="0.35">
      <c r="A4" s="10" t="s">
        <v>23</v>
      </c>
      <c r="B4" t="str" cm="1">
        <f t="array" ref="B4">IFERROR(MIN(_xlfn._xlws.FILTER(Transaction_log!A:A,(Transaction_log!B:B=Counter_System!B3)*(Transaction_log!E:E="Waiting")))," ")</f>
        <v xml:space="preserve"> </v>
      </c>
    </row>
    <row r="5" spans="1:24" ht="15.6" thickTop="1" thickBot="1" x14ac:dyDescent="0.35">
      <c r="A5" s="10" t="s">
        <v>13</v>
      </c>
      <c r="B5" s="12">
        <f ca="1">NOW()</f>
        <v>45853.197604398149</v>
      </c>
    </row>
    <row r="6" spans="1:24" ht="15" thickTop="1" x14ac:dyDescent="0.3">
      <c r="B6" s="12"/>
    </row>
    <row r="7" spans="1:24" x14ac:dyDescent="0.3">
      <c r="B7" s="12"/>
    </row>
    <row r="9" spans="1:24" ht="26.4" thickBot="1" x14ac:dyDescent="0.55000000000000004">
      <c r="A9" s="23" t="s">
        <v>21</v>
      </c>
    </row>
    <row r="10" spans="1:24" ht="15.6" thickTop="1" thickBot="1" x14ac:dyDescent="0.35"/>
    <row r="11" spans="1:24" ht="15.6" thickTop="1" thickBot="1" x14ac:dyDescent="0.35">
      <c r="A11" s="10" t="s">
        <v>0</v>
      </c>
      <c r="B11" s="3"/>
    </row>
    <row r="12" spans="1:24" ht="15.6" thickTop="1" thickBot="1" x14ac:dyDescent="0.35">
      <c r="A12" s="10" t="s">
        <v>23</v>
      </c>
      <c r="B12" t="str" cm="1">
        <f t="array" ref="B12">IFERROR(MIN(_xlfn._xlws.FILTER(Transaction_log!A:A,(Transaction_log!B:B=Counter_System!B11)*(Transaction_log!E:E="Waiting"))),"")</f>
        <v/>
      </c>
    </row>
    <row r="13" spans="1:24" ht="15.6" thickTop="1" thickBot="1" x14ac:dyDescent="0.35">
      <c r="A13" s="10" t="s">
        <v>13</v>
      </c>
      <c r="B13" s="12">
        <f ca="1">NOW()</f>
        <v>45853.197604398149</v>
      </c>
    </row>
    <row r="14" spans="1:24" ht="15" thickTop="1" x14ac:dyDescent="0.3"/>
    <row r="15" spans="1:24" x14ac:dyDescent="0.3">
      <c r="B15" s="12"/>
    </row>
    <row r="18" spans="1:2" x14ac:dyDescent="0.3">
      <c r="B18" s="12"/>
    </row>
    <row r="19" spans="1:2" ht="26.4" thickBot="1" x14ac:dyDescent="0.55000000000000004">
      <c r="A19" s="23" t="s">
        <v>22</v>
      </c>
      <c r="B19" s="12"/>
    </row>
    <row r="20" spans="1:2" ht="15.6" thickTop="1" thickBot="1" x14ac:dyDescent="0.35"/>
    <row r="21" spans="1:2" ht="15.6" thickTop="1" thickBot="1" x14ac:dyDescent="0.35">
      <c r="A21" s="10" t="s">
        <v>0</v>
      </c>
      <c r="B21" s="3"/>
    </row>
    <row r="22" spans="1:2" ht="15.6" thickTop="1" thickBot="1" x14ac:dyDescent="0.35">
      <c r="A22" s="10" t="s">
        <v>23</v>
      </c>
      <c r="B22" t="str" cm="1">
        <f t="array" ref="B22">IFERROR(MIN(_xlfn._xlws.FILTER(Transaction_log!A:A,(Transaction_log!B:B=Counter_System!B21)*(Transaction_log!E:E="Waiting"))),"")</f>
        <v/>
      </c>
    </row>
    <row r="23" spans="1:2" ht="15.6" thickTop="1" thickBot="1" x14ac:dyDescent="0.35">
      <c r="A23" s="10" t="s">
        <v>13</v>
      </c>
      <c r="B23" s="12">
        <f ca="1">NOW()</f>
        <v>45853.197604398149</v>
      </c>
    </row>
    <row r="24" spans="1:2" ht="15" thickTop="1" x14ac:dyDescent="0.3"/>
    <row r="42" spans="2:2" x14ac:dyDescent="0.3">
      <c r="B42" s="12"/>
    </row>
    <row r="43" spans="2:2" x14ac:dyDescent="0.3">
      <c r="B43" s="12"/>
    </row>
  </sheetData>
  <dataValidations count="1">
    <dataValidation type="list" allowBlank="1" showInputMessage="1" showErrorMessage="1" sqref="B3 B11 B21" xr:uid="{2F7CD4CC-C69A-4FC9-B2C2-C7DC8EEAAEC0}">
      <formula1>"VIP,General Inquiry,New Account, Customer Service,Billing &amp; Payments"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Macro32">
                <anchor moveWithCells="1" sizeWithCells="1">
                  <from>
                    <xdr:col>0</xdr:col>
                    <xdr:colOff>2004060</xdr:colOff>
                    <xdr:row>5</xdr:row>
                    <xdr:rowOff>0</xdr:rowOff>
                  </from>
                  <to>
                    <xdr:col>2</xdr:col>
                    <xdr:colOff>45720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Macro22">
                <anchor moveWithCells="1" sizeWithCells="1">
                  <from>
                    <xdr:col>0</xdr:col>
                    <xdr:colOff>2004060</xdr:colOff>
                    <xdr:row>12</xdr:row>
                    <xdr:rowOff>175260</xdr:rowOff>
                  </from>
                  <to>
                    <xdr:col>2</xdr:col>
                    <xdr:colOff>0</xdr:colOff>
                    <xdr:row>15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Macro34">
                <anchor moveWithCells="1" sizeWithCells="1">
                  <from>
                    <xdr:col>1</xdr:col>
                    <xdr:colOff>7620</xdr:colOff>
                    <xdr:row>23</xdr:row>
                    <xdr:rowOff>129540</xdr:rowOff>
                  </from>
                  <to>
                    <xdr:col>2</xdr:col>
                    <xdr:colOff>205740</xdr:colOff>
                    <xdr:row>25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FEF79-AA54-47F7-91B4-385D0F30ED0B}">
  <sheetPr codeName="Sheet1"/>
  <dimension ref="A1:V107"/>
  <sheetViews>
    <sheetView zoomScale="63" workbookViewId="0">
      <selection activeCell="A4" sqref="A4"/>
    </sheetView>
  </sheetViews>
  <sheetFormatPr defaultRowHeight="14.4" x14ac:dyDescent="0.3"/>
  <cols>
    <col min="1" max="1" width="34.88671875" customWidth="1"/>
    <col min="2" max="2" width="43" customWidth="1"/>
    <col min="3" max="3" width="37.6640625" customWidth="1"/>
    <col min="10" max="10" width="12.33203125" bestFit="1" customWidth="1"/>
    <col min="14" max="14" width="10.44140625" bestFit="1" customWidth="1"/>
    <col min="17" max="17" width="11.5546875" bestFit="1" customWidth="1"/>
    <col min="18" max="18" width="10.5546875" bestFit="1" customWidth="1"/>
    <col min="19" max="19" width="11.5546875" bestFit="1" customWidth="1"/>
    <col min="22" max="22" width="10.44140625" bestFit="1" customWidth="1"/>
  </cols>
  <sheetData>
    <row r="1" spans="1:19" ht="33.6" x14ac:dyDescent="0.65">
      <c r="A1" s="43" t="s">
        <v>12</v>
      </c>
      <c r="B1" s="43"/>
      <c r="C1" s="43"/>
    </row>
    <row r="2" spans="1:19" ht="33.6" x14ac:dyDescent="0.65">
      <c r="A2" s="25" t="s">
        <v>19</v>
      </c>
      <c r="B2" s="26">
        <f ca="1">NOW()</f>
        <v>45853.197604398149</v>
      </c>
      <c r="C2" s="27">
        <f ca="1">NOW()</f>
        <v>45853.197604398149</v>
      </c>
      <c r="F2" s="38" t="s">
        <v>29</v>
      </c>
      <c r="G2" s="38"/>
      <c r="H2" s="38"/>
      <c r="I2" s="38"/>
      <c r="J2" s="39" t="e">
        <f>AVERAGE(Transaction_log!F:F)</f>
        <v>#DIV/0!</v>
      </c>
    </row>
    <row r="3" spans="1:19" ht="47.4" x14ac:dyDescent="0.9">
      <c r="A3" s="28" t="s">
        <v>20</v>
      </c>
      <c r="B3" s="28" t="s">
        <v>21</v>
      </c>
      <c r="C3" s="28" t="s">
        <v>22</v>
      </c>
      <c r="F3" s="24"/>
    </row>
    <row r="4" spans="1:19" ht="33.6" x14ac:dyDescent="0.65">
      <c r="A4" s="33"/>
      <c r="B4" s="33"/>
      <c r="C4" s="33"/>
      <c r="N4" s="31"/>
      <c r="R4" s="12"/>
      <c r="S4" s="31"/>
    </row>
    <row r="5" spans="1:19" ht="33.6" x14ac:dyDescent="0.65">
      <c r="A5" s="33"/>
      <c r="B5" s="33"/>
      <c r="C5" s="33"/>
      <c r="N5" s="31"/>
      <c r="R5" s="12"/>
      <c r="S5" s="31"/>
    </row>
    <row r="6" spans="1:19" ht="33.6" x14ac:dyDescent="0.65">
      <c r="A6" s="33"/>
      <c r="B6" s="33"/>
      <c r="C6" s="33"/>
      <c r="N6" s="31"/>
      <c r="R6" s="12"/>
      <c r="S6" s="31"/>
    </row>
    <row r="7" spans="1:19" ht="33.6" x14ac:dyDescent="0.65">
      <c r="A7" s="33"/>
      <c r="B7" s="33"/>
      <c r="C7" s="33"/>
      <c r="N7" s="31"/>
      <c r="R7" s="12"/>
      <c r="S7" s="31"/>
    </row>
    <row r="8" spans="1:19" ht="33.6" x14ac:dyDescent="0.65">
      <c r="A8" s="33"/>
      <c r="B8" s="33"/>
      <c r="C8" s="33"/>
      <c r="N8" s="31"/>
      <c r="R8" s="12"/>
      <c r="S8" s="31"/>
    </row>
    <row r="9" spans="1:19" ht="33.6" x14ac:dyDescent="0.65">
      <c r="A9" s="33"/>
      <c r="B9" s="33"/>
      <c r="C9" s="33"/>
      <c r="N9" s="31"/>
      <c r="R9" s="12"/>
      <c r="S9" s="31"/>
    </row>
    <row r="10" spans="1:19" ht="33.6" x14ac:dyDescent="0.65">
      <c r="A10" s="33"/>
      <c r="B10" s="33"/>
      <c r="C10" s="33"/>
      <c r="N10" s="31"/>
      <c r="R10" s="12"/>
      <c r="S10" s="31"/>
    </row>
    <row r="11" spans="1:19" ht="33.6" x14ac:dyDescent="0.65">
      <c r="A11" s="33"/>
      <c r="B11" s="33"/>
      <c r="C11" s="33"/>
      <c r="N11" s="31"/>
      <c r="R11" s="12"/>
      <c r="S11" s="31"/>
    </row>
    <row r="12" spans="1:19" ht="33.6" x14ac:dyDescent="0.65">
      <c r="A12" s="33"/>
      <c r="B12" s="33"/>
      <c r="C12" s="33"/>
      <c r="N12" s="31"/>
      <c r="R12" s="12"/>
      <c r="S12" s="31"/>
    </row>
    <row r="13" spans="1:19" ht="33.6" x14ac:dyDescent="0.65">
      <c r="A13" s="33"/>
      <c r="B13" s="33"/>
      <c r="C13" s="33"/>
      <c r="N13" s="31"/>
      <c r="R13" s="12"/>
      <c r="S13" s="31"/>
    </row>
    <row r="14" spans="1:19" ht="33.6" x14ac:dyDescent="0.65">
      <c r="A14" s="33"/>
      <c r="B14" s="33"/>
      <c r="C14" s="33"/>
      <c r="N14" s="31"/>
      <c r="R14" s="12"/>
      <c r="S14" s="31"/>
    </row>
    <row r="15" spans="1:19" ht="33.6" x14ac:dyDescent="0.65">
      <c r="A15" s="33"/>
      <c r="B15" s="33"/>
      <c r="C15" s="33"/>
      <c r="N15" s="31"/>
      <c r="R15" s="12"/>
      <c r="S15" s="31"/>
    </row>
    <row r="16" spans="1:19" ht="33.6" x14ac:dyDescent="0.65">
      <c r="A16" s="33"/>
      <c r="B16" s="33"/>
      <c r="C16" s="33"/>
      <c r="N16" s="31"/>
      <c r="R16" s="12"/>
      <c r="S16" s="31"/>
    </row>
    <row r="17" spans="1:19" ht="33.6" x14ac:dyDescent="0.65">
      <c r="A17" s="33"/>
      <c r="B17" s="33"/>
      <c r="C17" s="33"/>
      <c r="N17" s="31"/>
      <c r="R17" s="12"/>
      <c r="S17" s="31"/>
    </row>
    <row r="18" spans="1:19" ht="33.6" x14ac:dyDescent="0.65">
      <c r="A18" s="33"/>
      <c r="B18" s="33"/>
      <c r="C18" s="33"/>
      <c r="N18" s="31"/>
      <c r="R18" s="12"/>
      <c r="S18" s="31"/>
    </row>
    <row r="19" spans="1:19" ht="33.6" x14ac:dyDescent="0.65">
      <c r="A19" s="33"/>
      <c r="B19" s="33"/>
      <c r="C19" s="33"/>
      <c r="N19" s="31"/>
      <c r="R19" s="12"/>
      <c r="S19" s="31"/>
    </row>
    <row r="20" spans="1:19" ht="33.6" x14ac:dyDescent="0.65">
      <c r="A20" s="33"/>
      <c r="B20" s="33"/>
      <c r="C20" s="33"/>
      <c r="N20" s="31"/>
      <c r="R20" s="12"/>
      <c r="S20" s="31"/>
    </row>
    <row r="21" spans="1:19" ht="33.6" x14ac:dyDescent="0.65">
      <c r="A21" s="33"/>
      <c r="B21" s="33"/>
      <c r="C21" s="33"/>
      <c r="N21" s="31"/>
      <c r="R21" s="12"/>
      <c r="S21" s="31"/>
    </row>
    <row r="22" spans="1:19" ht="33.6" x14ac:dyDescent="0.65">
      <c r="A22" s="33"/>
      <c r="B22" s="33"/>
      <c r="C22" s="33"/>
      <c r="N22" s="31"/>
      <c r="R22" s="12"/>
      <c r="S22" s="31"/>
    </row>
    <row r="23" spans="1:19" ht="33.6" x14ac:dyDescent="0.65">
      <c r="A23" s="33"/>
      <c r="B23" s="33"/>
      <c r="C23" s="33"/>
      <c r="N23" s="31"/>
      <c r="R23" s="12"/>
      <c r="S23" s="31"/>
    </row>
    <row r="24" spans="1:19" ht="33.6" x14ac:dyDescent="0.65">
      <c r="A24" s="33"/>
      <c r="B24" s="33"/>
      <c r="C24" s="33"/>
      <c r="N24" s="31"/>
      <c r="R24" s="12"/>
      <c r="S24" s="31"/>
    </row>
    <row r="25" spans="1:19" ht="33.6" x14ac:dyDescent="0.65">
      <c r="A25" s="33"/>
      <c r="B25" s="33"/>
      <c r="C25" s="33"/>
      <c r="N25" s="31"/>
      <c r="R25" s="12"/>
      <c r="S25" s="31"/>
    </row>
    <row r="26" spans="1:19" ht="33.6" x14ac:dyDescent="0.65">
      <c r="A26" s="33"/>
      <c r="B26" s="33"/>
      <c r="C26" s="33"/>
      <c r="N26" s="31"/>
      <c r="R26" s="12"/>
      <c r="S26" s="31"/>
    </row>
    <row r="27" spans="1:19" ht="33.6" x14ac:dyDescent="0.65">
      <c r="A27" s="33"/>
      <c r="B27" s="33"/>
      <c r="C27" s="33"/>
      <c r="N27" s="31"/>
      <c r="R27" s="12"/>
      <c r="S27" s="31"/>
    </row>
    <row r="28" spans="1:19" ht="33.6" x14ac:dyDescent="0.65">
      <c r="A28" s="33"/>
      <c r="B28" s="33"/>
      <c r="C28" s="33"/>
      <c r="N28" s="31"/>
      <c r="R28" s="12"/>
      <c r="S28" s="31"/>
    </row>
    <row r="29" spans="1:19" ht="33.6" x14ac:dyDescent="0.65">
      <c r="A29" s="33"/>
      <c r="B29" s="33"/>
      <c r="C29" s="33"/>
      <c r="N29" s="31"/>
      <c r="R29" s="12"/>
      <c r="S29" s="31"/>
    </row>
    <row r="30" spans="1:19" ht="33.6" x14ac:dyDescent="0.65">
      <c r="A30" s="33"/>
      <c r="B30" s="33"/>
      <c r="C30" s="33"/>
      <c r="N30" s="31"/>
      <c r="R30" s="12"/>
      <c r="S30" s="31"/>
    </row>
    <row r="31" spans="1:19" ht="33.6" x14ac:dyDescent="0.65">
      <c r="A31" s="33"/>
      <c r="B31" s="33"/>
      <c r="C31" s="33"/>
      <c r="N31" s="31"/>
      <c r="R31" s="12"/>
      <c r="S31" s="31"/>
    </row>
    <row r="32" spans="1:19" ht="33.6" x14ac:dyDescent="0.65">
      <c r="A32" s="33"/>
      <c r="B32" s="33"/>
      <c r="C32" s="33"/>
      <c r="N32" s="31"/>
      <c r="R32" s="12"/>
      <c r="S32" s="31"/>
    </row>
    <row r="33" spans="1:19" ht="33.6" x14ac:dyDescent="0.65">
      <c r="A33" s="33"/>
      <c r="B33" s="33"/>
      <c r="C33" s="33"/>
      <c r="N33" s="31"/>
      <c r="R33" s="12"/>
      <c r="S33" s="31"/>
    </row>
    <row r="34" spans="1:19" ht="33.6" x14ac:dyDescent="0.65">
      <c r="A34" s="33"/>
      <c r="B34" s="33"/>
      <c r="C34" s="33"/>
      <c r="N34" s="31"/>
      <c r="R34" s="12"/>
      <c r="S34" s="31"/>
    </row>
    <row r="35" spans="1:19" ht="33.6" x14ac:dyDescent="0.65">
      <c r="A35" s="33"/>
      <c r="B35" s="33"/>
      <c r="C35" s="33"/>
      <c r="N35" s="31"/>
      <c r="R35" s="12"/>
      <c r="S35" s="31"/>
    </row>
    <row r="36" spans="1:19" ht="33.6" x14ac:dyDescent="0.65">
      <c r="A36" s="33"/>
      <c r="B36" s="33"/>
      <c r="C36" s="33"/>
      <c r="N36" s="31"/>
      <c r="R36" s="12"/>
      <c r="S36" s="31"/>
    </row>
    <row r="37" spans="1:19" ht="33.6" x14ac:dyDescent="0.65">
      <c r="A37" s="33"/>
      <c r="B37" s="33"/>
      <c r="C37" s="33"/>
      <c r="N37" s="31"/>
      <c r="R37" s="12"/>
      <c r="S37" s="31"/>
    </row>
    <row r="38" spans="1:19" ht="33.6" x14ac:dyDescent="0.65">
      <c r="A38" s="33"/>
      <c r="B38" s="33"/>
      <c r="C38" s="33"/>
      <c r="N38" s="31"/>
      <c r="R38" s="12"/>
      <c r="S38" s="31"/>
    </row>
    <row r="39" spans="1:19" ht="33.6" x14ac:dyDescent="0.65">
      <c r="A39" s="33"/>
      <c r="B39" s="33"/>
      <c r="C39" s="33"/>
      <c r="N39" s="31"/>
      <c r="R39" s="12"/>
      <c r="S39" s="31"/>
    </row>
    <row r="40" spans="1:19" ht="33.6" x14ac:dyDescent="0.65">
      <c r="A40" s="33"/>
      <c r="B40" s="33"/>
      <c r="C40" s="33"/>
      <c r="N40" s="31"/>
      <c r="R40" s="12"/>
      <c r="S40" s="31"/>
    </row>
    <row r="41" spans="1:19" ht="33.6" x14ac:dyDescent="0.65">
      <c r="A41" s="33"/>
      <c r="B41" s="33"/>
      <c r="C41" s="33"/>
      <c r="N41" s="31"/>
      <c r="R41" s="12"/>
      <c r="S41" s="31"/>
    </row>
    <row r="42" spans="1:19" ht="33.6" x14ac:dyDescent="0.65">
      <c r="A42" s="33"/>
      <c r="B42" s="33"/>
      <c r="C42" s="33"/>
      <c r="N42" s="31"/>
      <c r="R42" s="12"/>
      <c r="S42" s="31"/>
    </row>
    <row r="43" spans="1:19" ht="33.6" x14ac:dyDescent="0.65">
      <c r="A43" s="33" t="s">
        <v>28</v>
      </c>
      <c r="B43" s="33"/>
      <c r="C43" s="33"/>
      <c r="N43" s="31"/>
      <c r="R43" s="12"/>
      <c r="S43" s="31"/>
    </row>
    <row r="44" spans="1:19" ht="33.6" x14ac:dyDescent="0.65">
      <c r="A44" s="33"/>
      <c r="B44" s="33"/>
      <c r="C44" s="33"/>
      <c r="N44" s="31"/>
      <c r="R44" s="12"/>
      <c r="S44" s="31"/>
    </row>
    <row r="45" spans="1:19" ht="33.6" x14ac:dyDescent="0.65">
      <c r="A45" s="33"/>
      <c r="B45" s="33"/>
      <c r="C45" s="33"/>
      <c r="N45" s="31"/>
      <c r="R45" s="12"/>
      <c r="S45" s="31"/>
    </row>
    <row r="46" spans="1:19" ht="33.6" x14ac:dyDescent="0.65">
      <c r="A46" s="33"/>
      <c r="B46" s="33"/>
      <c r="C46" s="33"/>
      <c r="N46" s="31"/>
      <c r="R46" s="12"/>
      <c r="S46" s="31"/>
    </row>
    <row r="47" spans="1:19" ht="33.6" x14ac:dyDescent="0.65">
      <c r="A47" s="33"/>
      <c r="B47" s="33"/>
      <c r="C47" s="33"/>
      <c r="N47" s="31"/>
      <c r="R47" s="12"/>
      <c r="S47" s="31"/>
    </row>
    <row r="48" spans="1:19" ht="33.6" x14ac:dyDescent="0.65">
      <c r="A48" s="33"/>
      <c r="B48" s="33"/>
      <c r="C48" s="33"/>
      <c r="N48" s="31"/>
      <c r="R48" s="12"/>
      <c r="S48" s="31"/>
    </row>
    <row r="49" spans="1:19" ht="33.6" x14ac:dyDescent="0.65">
      <c r="A49" s="33"/>
      <c r="B49" s="33"/>
      <c r="C49" s="33"/>
      <c r="N49" s="31"/>
      <c r="R49" s="12"/>
      <c r="S49" s="31"/>
    </row>
    <row r="50" spans="1:19" ht="33.6" x14ac:dyDescent="0.65">
      <c r="A50" s="33"/>
      <c r="B50" s="33"/>
      <c r="C50" s="33"/>
      <c r="N50" s="31"/>
      <c r="R50" s="12"/>
      <c r="S50" s="31"/>
    </row>
    <row r="51" spans="1:19" ht="33.6" x14ac:dyDescent="0.65">
      <c r="A51" s="33"/>
      <c r="B51" s="33"/>
      <c r="C51" s="33"/>
      <c r="N51" s="31"/>
      <c r="R51" s="12"/>
      <c r="S51" s="31"/>
    </row>
    <row r="52" spans="1:19" ht="33.6" x14ac:dyDescent="0.65">
      <c r="A52" s="33"/>
      <c r="B52" s="33"/>
      <c r="C52" s="33"/>
      <c r="N52" s="31"/>
      <c r="R52" s="12"/>
      <c r="S52" s="31"/>
    </row>
    <row r="53" spans="1:19" ht="33.6" x14ac:dyDescent="0.65">
      <c r="A53" s="33"/>
      <c r="B53" s="33"/>
      <c r="C53" s="33"/>
      <c r="N53" s="31"/>
      <c r="R53" s="12"/>
      <c r="S53" s="31"/>
    </row>
    <row r="54" spans="1:19" ht="33.6" x14ac:dyDescent="0.65">
      <c r="A54" s="33"/>
      <c r="B54" s="33"/>
      <c r="C54" s="33"/>
      <c r="N54" s="31"/>
      <c r="R54" s="12"/>
      <c r="S54" s="31"/>
    </row>
    <row r="55" spans="1:19" ht="33.6" x14ac:dyDescent="0.65">
      <c r="A55" s="33"/>
      <c r="B55" s="33"/>
      <c r="C55" s="33"/>
      <c r="N55" s="31"/>
      <c r="R55" s="12"/>
      <c r="S55" s="31"/>
    </row>
    <row r="56" spans="1:19" ht="33.6" x14ac:dyDescent="0.65">
      <c r="A56" s="33"/>
      <c r="B56" s="33"/>
      <c r="C56" s="33"/>
      <c r="N56" s="31"/>
      <c r="R56" s="12"/>
      <c r="S56" s="31"/>
    </row>
    <row r="57" spans="1:19" ht="33.6" x14ac:dyDescent="0.65">
      <c r="A57" s="33"/>
      <c r="B57" s="33"/>
      <c r="C57" s="33"/>
      <c r="N57" s="31"/>
      <c r="R57" s="12"/>
      <c r="S57" s="31"/>
    </row>
    <row r="58" spans="1:19" ht="33.6" x14ac:dyDescent="0.65">
      <c r="A58" s="33"/>
      <c r="B58" s="33"/>
      <c r="C58" s="33"/>
      <c r="N58" s="31"/>
      <c r="R58" s="12"/>
      <c r="S58" s="31"/>
    </row>
    <row r="59" spans="1:19" ht="33.6" x14ac:dyDescent="0.65">
      <c r="A59" s="33"/>
      <c r="B59" s="33"/>
      <c r="C59" s="33"/>
      <c r="N59" s="31"/>
      <c r="R59" s="12"/>
      <c r="S59" s="31"/>
    </row>
    <row r="60" spans="1:19" ht="33.6" x14ac:dyDescent="0.65">
      <c r="A60" s="33"/>
      <c r="B60" s="33"/>
      <c r="C60" s="33"/>
      <c r="N60" s="31"/>
      <c r="R60" s="12"/>
      <c r="S60" s="31"/>
    </row>
    <row r="61" spans="1:19" ht="33.6" x14ac:dyDescent="0.65">
      <c r="A61" s="33"/>
      <c r="B61" s="33"/>
      <c r="C61" s="33"/>
      <c r="N61" s="31"/>
      <c r="R61" s="12"/>
      <c r="S61" s="31"/>
    </row>
    <row r="62" spans="1:19" ht="33.6" x14ac:dyDescent="0.65">
      <c r="A62" s="33"/>
      <c r="B62" s="33"/>
      <c r="C62" s="33"/>
      <c r="N62" s="31"/>
      <c r="R62" s="12"/>
      <c r="S62" s="31"/>
    </row>
    <row r="63" spans="1:19" ht="33.6" x14ac:dyDescent="0.65">
      <c r="A63" s="33"/>
      <c r="B63" s="33"/>
      <c r="C63" s="33"/>
      <c r="N63" s="31"/>
      <c r="R63" s="12"/>
      <c r="S63" s="31"/>
    </row>
    <row r="64" spans="1:19" ht="33.6" x14ac:dyDescent="0.65">
      <c r="A64" s="33"/>
      <c r="B64" s="33"/>
      <c r="C64" s="33"/>
      <c r="N64" s="31"/>
      <c r="R64" s="12"/>
      <c r="S64" s="31"/>
    </row>
    <row r="65" spans="1:19" ht="33.6" x14ac:dyDescent="0.65">
      <c r="A65" s="33"/>
      <c r="B65" s="33"/>
      <c r="C65" s="33"/>
      <c r="N65" s="31"/>
      <c r="R65" s="12"/>
      <c r="S65" s="31"/>
    </row>
    <row r="66" spans="1:19" ht="33.6" x14ac:dyDescent="0.65">
      <c r="A66" s="33"/>
      <c r="B66" s="32" t="s">
        <v>27</v>
      </c>
      <c r="C66" s="32"/>
      <c r="N66" s="31"/>
      <c r="R66" s="12"/>
      <c r="S66" s="31"/>
    </row>
    <row r="67" spans="1:19" ht="33.6" x14ac:dyDescent="0.65">
      <c r="A67" s="33"/>
      <c r="B67" s="32"/>
      <c r="C67" s="32"/>
      <c r="N67" s="31"/>
      <c r="R67" s="12"/>
      <c r="S67" s="31"/>
    </row>
    <row r="68" spans="1:19" ht="33.6" x14ac:dyDescent="0.65">
      <c r="A68" s="32"/>
      <c r="B68" s="32"/>
      <c r="C68" s="32"/>
      <c r="N68" s="31"/>
      <c r="R68" s="12"/>
      <c r="S68" s="31"/>
    </row>
    <row r="69" spans="1:19" ht="33.6" x14ac:dyDescent="0.65">
      <c r="A69" s="32"/>
      <c r="B69" s="32"/>
      <c r="C69" s="32"/>
      <c r="N69" s="31"/>
      <c r="R69" s="12"/>
      <c r="S69" s="31"/>
    </row>
    <row r="70" spans="1:19" ht="33.6" x14ac:dyDescent="0.65">
      <c r="A70" s="32"/>
      <c r="B70" s="32"/>
      <c r="C70" s="32"/>
      <c r="N70" s="31"/>
      <c r="R70" s="12"/>
      <c r="S70" s="31"/>
    </row>
    <row r="71" spans="1:19" ht="33.6" x14ac:dyDescent="0.65">
      <c r="A71" s="32"/>
      <c r="B71" s="32"/>
      <c r="C71" s="32"/>
      <c r="N71" s="31"/>
      <c r="R71" s="12"/>
      <c r="S71" s="31"/>
    </row>
    <row r="72" spans="1:19" ht="33.6" x14ac:dyDescent="0.65">
      <c r="A72" s="32"/>
      <c r="B72" s="32"/>
      <c r="C72" s="32"/>
      <c r="N72" s="31"/>
      <c r="R72" s="12"/>
      <c r="S72" s="31"/>
    </row>
    <row r="73" spans="1:19" ht="33.6" x14ac:dyDescent="0.65">
      <c r="A73" s="32"/>
      <c r="B73" s="32"/>
      <c r="C73" s="32"/>
      <c r="N73" s="31"/>
      <c r="R73" s="12"/>
      <c r="S73" s="31"/>
    </row>
    <row r="74" spans="1:19" ht="33.6" x14ac:dyDescent="0.65">
      <c r="A74" s="32"/>
      <c r="B74" s="32"/>
      <c r="C74" s="32"/>
      <c r="N74" s="31"/>
      <c r="R74" s="12"/>
      <c r="S74" s="31"/>
    </row>
    <row r="75" spans="1:19" ht="33.6" x14ac:dyDescent="0.65">
      <c r="A75" s="32"/>
      <c r="B75" s="32"/>
      <c r="C75" s="32"/>
      <c r="N75" s="31"/>
      <c r="Q75" s="12"/>
      <c r="S75" s="31"/>
    </row>
    <row r="76" spans="1:19" ht="33.6" x14ac:dyDescent="0.65">
      <c r="A76" s="32"/>
      <c r="B76" s="32"/>
      <c r="C76" s="32"/>
      <c r="N76" s="31"/>
      <c r="S76" s="31"/>
    </row>
    <row r="77" spans="1:19" ht="33.6" x14ac:dyDescent="0.65">
      <c r="A77" s="32"/>
      <c r="B77" s="32"/>
      <c r="C77" s="32"/>
      <c r="N77" s="31"/>
    </row>
    <row r="78" spans="1:19" ht="33.6" x14ac:dyDescent="0.65">
      <c r="A78" s="32"/>
      <c r="B78" s="32"/>
      <c r="C78" s="32"/>
      <c r="N78" s="31"/>
    </row>
    <row r="79" spans="1:19" ht="33.6" x14ac:dyDescent="0.65">
      <c r="A79" s="32"/>
      <c r="B79" s="32"/>
      <c r="C79" s="32"/>
    </row>
    <row r="80" spans="1:19" ht="33.6" x14ac:dyDescent="0.65">
      <c r="A80" s="32"/>
      <c r="B80" s="32"/>
      <c r="C80" s="32"/>
    </row>
    <row r="81" spans="1:22" ht="33.6" x14ac:dyDescent="0.65">
      <c r="A81" s="32"/>
      <c r="B81" s="32"/>
      <c r="C81" s="32"/>
    </row>
    <row r="82" spans="1:22" ht="33.6" x14ac:dyDescent="0.65">
      <c r="A82" s="32"/>
      <c r="B82" s="32"/>
      <c r="C82" s="32"/>
      <c r="V82" s="31"/>
    </row>
    <row r="83" spans="1:22" ht="33.6" x14ac:dyDescent="0.65">
      <c r="A83" s="32"/>
      <c r="B83" s="32"/>
      <c r="C83" s="32"/>
    </row>
    <row r="84" spans="1:22" ht="33.6" x14ac:dyDescent="0.65">
      <c r="A84" s="32"/>
    </row>
    <row r="85" spans="1:22" ht="33.6" x14ac:dyDescent="0.65">
      <c r="A85" s="32"/>
    </row>
    <row r="106" spans="17:17" x14ac:dyDescent="0.3">
      <c r="Q106" s="31"/>
    </row>
    <row r="107" spans="17:17" x14ac:dyDescent="0.3">
      <c r="Q107" s="31"/>
    </row>
  </sheetData>
  <mergeCells count="1">
    <mergeCell ref="A1:C1"/>
  </mergeCells>
  <phoneticPr fontId="2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F7793-9C66-4845-9190-F5445488CB94}">
  <sheetPr codeName="Sheet5"/>
  <dimension ref="A1"/>
  <sheetViews>
    <sheetView zoomScale="85" zoomScaleNormal="85" workbookViewId="0">
      <selection activeCell="E3" sqref="E3"/>
    </sheetView>
  </sheetViews>
  <sheetFormatPr defaultColWidth="8.77734375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cro1">
                <anchor moveWithCells="1" sizeWithCells="1">
                  <from>
                    <xdr:col>1</xdr:col>
                    <xdr:colOff>53340</xdr:colOff>
                    <xdr:row>1</xdr:row>
                    <xdr:rowOff>38100</xdr:rowOff>
                  </from>
                  <to>
                    <xdr:col>3</xdr:col>
                    <xdr:colOff>243840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24FC-5878-4AAD-957C-358A6F0A60F2}">
  <sheetPr codeName="Sheet6"/>
  <dimension ref="A1:B7"/>
  <sheetViews>
    <sheetView zoomScale="129" workbookViewId="0">
      <selection activeCell="B7" sqref="B7"/>
    </sheetView>
  </sheetViews>
  <sheetFormatPr defaultColWidth="8.77734375" defaultRowHeight="14.4" x14ac:dyDescent="0.3"/>
  <cols>
    <col min="1" max="1" width="10.6640625" bestFit="1" customWidth="1"/>
    <col min="2" max="2" width="21.21875" customWidth="1"/>
    <col min="3" max="3" width="7" bestFit="1" customWidth="1"/>
    <col min="4" max="4" width="10.6640625" bestFit="1" customWidth="1"/>
    <col min="13" max="13" width="13" bestFit="1" customWidth="1"/>
    <col min="14" max="14" width="27.5546875" bestFit="1" customWidth="1"/>
    <col min="15" max="16" width="2.109375" bestFit="1" customWidth="1"/>
    <col min="17" max="17" width="10.6640625" bestFit="1" customWidth="1"/>
  </cols>
  <sheetData>
    <row r="1" spans="1:2" ht="26.4" thickBot="1" x14ac:dyDescent="0.55000000000000004">
      <c r="A1" s="18" t="s">
        <v>15</v>
      </c>
      <c r="B1" s="17"/>
    </row>
    <row r="2" spans="1:2" ht="15" thickTop="1" x14ac:dyDescent="0.3"/>
    <row r="3" spans="1:2" x14ac:dyDescent="0.3">
      <c r="A3" s="20" t="s">
        <v>16</v>
      </c>
      <c r="B3" s="20" t="s">
        <v>17</v>
      </c>
    </row>
    <row r="4" spans="1:2" x14ac:dyDescent="0.3">
      <c r="A4">
        <v>1</v>
      </c>
      <c r="B4" s="19">
        <f>COUNTIF('counter1_time called'!A:A,Table2[[#This Row],[COUNTER ]])</f>
        <v>0</v>
      </c>
    </row>
    <row r="5" spans="1:2" x14ac:dyDescent="0.3">
      <c r="A5">
        <v>2</v>
      </c>
      <c r="B5" s="19">
        <f>COUNTIF('counter1_time called'!A:A,Table2[[#This Row],[COUNTER ]])</f>
        <v>0</v>
      </c>
    </row>
    <row r="6" spans="1:2" x14ac:dyDescent="0.3">
      <c r="A6">
        <v>3</v>
      </c>
      <c r="B6" s="19">
        <f>COUNTIF('counter1_time called'!A:A,Table2[[#This Row],[COUNTER ]])</f>
        <v>0</v>
      </c>
    </row>
    <row r="7" spans="1:2" x14ac:dyDescent="0.3">
      <c r="B7" s="19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5F35C-55B5-448C-94C8-45CF1B1999E9}">
  <sheetPr codeName="Sheet3"/>
  <dimension ref="A1:C60"/>
  <sheetViews>
    <sheetView workbookViewId="0">
      <selection activeCell="A2" sqref="A2:C6"/>
    </sheetView>
  </sheetViews>
  <sheetFormatPr defaultRowHeight="14.4" x14ac:dyDescent="0.3"/>
  <cols>
    <col min="2" max="2" width="11.88671875" customWidth="1"/>
    <col min="3" max="3" width="11.109375" style="21" customWidth="1"/>
  </cols>
  <sheetData>
    <row r="1" spans="1:3" ht="15.6" thickTop="1" thickBot="1" x14ac:dyDescent="0.35">
      <c r="A1" s="10" t="s">
        <v>24</v>
      </c>
      <c r="B1" s="10" t="s">
        <v>25</v>
      </c>
      <c r="C1" s="34" t="s">
        <v>26</v>
      </c>
    </row>
    <row r="2" spans="1:3" ht="15.6" thickTop="1" thickBot="1" x14ac:dyDescent="0.35">
      <c r="A2" s="10"/>
      <c r="B2" s="10"/>
      <c r="C2" s="34"/>
    </row>
    <row r="3" spans="1:3" ht="15.6" thickTop="1" thickBot="1" x14ac:dyDescent="0.35">
      <c r="A3" s="10"/>
      <c r="B3" s="10"/>
      <c r="C3" s="34"/>
    </row>
    <row r="4" spans="1:3" ht="15.6" thickTop="1" thickBot="1" x14ac:dyDescent="0.35">
      <c r="A4" s="10"/>
      <c r="B4" s="10"/>
      <c r="C4" s="34"/>
    </row>
    <row r="5" spans="1:3" ht="15.6" thickTop="1" thickBot="1" x14ac:dyDescent="0.35">
      <c r="A5" s="10"/>
      <c r="B5" s="10"/>
      <c r="C5" s="34"/>
    </row>
    <row r="6" spans="1:3" ht="15.6" thickTop="1" thickBot="1" x14ac:dyDescent="0.35">
      <c r="A6" s="10"/>
      <c r="B6" s="10"/>
      <c r="C6" s="34"/>
    </row>
    <row r="7" spans="1:3" ht="15.6" thickTop="1" thickBot="1" x14ac:dyDescent="0.35">
      <c r="A7" s="10"/>
      <c r="B7" s="10"/>
      <c r="C7" s="34"/>
    </row>
    <row r="8" spans="1:3" ht="15.6" thickTop="1" thickBot="1" x14ac:dyDescent="0.35">
      <c r="A8" s="10"/>
      <c r="B8" s="10"/>
      <c r="C8" s="34"/>
    </row>
    <row r="9" spans="1:3" ht="15.6" thickTop="1" thickBot="1" x14ac:dyDescent="0.35">
      <c r="A9" s="10"/>
      <c r="B9" s="10"/>
      <c r="C9" s="34"/>
    </row>
    <row r="10" spans="1:3" ht="15.6" thickTop="1" thickBot="1" x14ac:dyDescent="0.35">
      <c r="A10" s="10"/>
      <c r="B10" s="10"/>
      <c r="C10" s="34"/>
    </row>
    <row r="11" spans="1:3" ht="15.6" thickTop="1" thickBot="1" x14ac:dyDescent="0.35">
      <c r="A11" s="10"/>
      <c r="B11" s="10"/>
      <c r="C11" s="34"/>
    </row>
    <row r="12" spans="1:3" ht="15.6" thickTop="1" thickBot="1" x14ac:dyDescent="0.35">
      <c r="A12" s="10"/>
      <c r="B12" s="10"/>
      <c r="C12" s="34"/>
    </row>
    <row r="13" spans="1:3" ht="15.6" thickTop="1" thickBot="1" x14ac:dyDescent="0.35">
      <c r="A13" s="10"/>
      <c r="B13" s="10"/>
      <c r="C13" s="34"/>
    </row>
    <row r="14" spans="1:3" ht="15.6" thickTop="1" thickBot="1" x14ac:dyDescent="0.35">
      <c r="A14" s="10"/>
      <c r="B14" s="10"/>
      <c r="C14" s="34"/>
    </row>
    <row r="15" spans="1:3" ht="15.6" thickTop="1" thickBot="1" x14ac:dyDescent="0.35">
      <c r="A15" s="10"/>
      <c r="B15" s="10"/>
      <c r="C15" s="34"/>
    </row>
    <row r="16" spans="1:3" ht="15.6" thickTop="1" thickBot="1" x14ac:dyDescent="0.35">
      <c r="A16" s="10"/>
      <c r="B16" s="10"/>
      <c r="C16" s="34"/>
    </row>
    <row r="17" spans="1:3" ht="15.6" thickTop="1" thickBot="1" x14ac:dyDescent="0.35">
      <c r="A17" s="10"/>
      <c r="B17" s="10"/>
      <c r="C17" s="34"/>
    </row>
    <row r="18" spans="1:3" ht="15.6" thickTop="1" thickBot="1" x14ac:dyDescent="0.35">
      <c r="A18" s="10"/>
      <c r="B18" s="10"/>
      <c r="C18" s="34"/>
    </row>
    <row r="19" spans="1:3" ht="15.6" thickTop="1" thickBot="1" x14ac:dyDescent="0.35">
      <c r="A19" s="10"/>
      <c r="B19" s="10"/>
      <c r="C19" s="34"/>
    </row>
    <row r="20" spans="1:3" ht="15.6" thickTop="1" thickBot="1" x14ac:dyDescent="0.35">
      <c r="A20" s="10"/>
      <c r="B20" s="10"/>
      <c r="C20" s="34"/>
    </row>
    <row r="21" spans="1:3" ht="15.6" thickTop="1" thickBot="1" x14ac:dyDescent="0.35">
      <c r="A21" s="10"/>
      <c r="B21" s="10"/>
      <c r="C21" s="34"/>
    </row>
    <row r="22" spans="1:3" ht="15.6" thickTop="1" thickBot="1" x14ac:dyDescent="0.35">
      <c r="A22" s="10"/>
      <c r="B22" s="10"/>
      <c r="C22" s="34"/>
    </row>
    <row r="23" spans="1:3" ht="15.6" thickTop="1" thickBot="1" x14ac:dyDescent="0.35">
      <c r="A23" s="10"/>
      <c r="B23" s="10"/>
      <c r="C23" s="34"/>
    </row>
    <row r="24" spans="1:3" ht="15.6" thickTop="1" thickBot="1" x14ac:dyDescent="0.35">
      <c r="A24" s="10"/>
      <c r="B24" s="10"/>
      <c r="C24" s="34"/>
    </row>
    <row r="25" spans="1:3" ht="15.6" thickTop="1" thickBot="1" x14ac:dyDescent="0.35">
      <c r="A25" s="10"/>
      <c r="B25" s="10"/>
      <c r="C25" s="34"/>
    </row>
    <row r="26" spans="1:3" ht="15.6" thickTop="1" thickBot="1" x14ac:dyDescent="0.35">
      <c r="A26" s="10"/>
      <c r="B26" s="10"/>
      <c r="C26" s="34"/>
    </row>
    <row r="27" spans="1:3" ht="15.6" thickTop="1" thickBot="1" x14ac:dyDescent="0.35">
      <c r="A27" s="10"/>
      <c r="B27" s="10"/>
      <c r="C27" s="34"/>
    </row>
    <row r="28" spans="1:3" ht="15.6" thickTop="1" thickBot="1" x14ac:dyDescent="0.35">
      <c r="A28" s="10"/>
      <c r="B28" s="10"/>
      <c r="C28" s="34"/>
    </row>
    <row r="29" spans="1:3" ht="15.6" thickTop="1" thickBot="1" x14ac:dyDescent="0.35">
      <c r="A29" s="10"/>
      <c r="B29" s="10"/>
      <c r="C29" s="34"/>
    </row>
    <row r="30" spans="1:3" ht="15.6" thickTop="1" thickBot="1" x14ac:dyDescent="0.35">
      <c r="A30" s="10"/>
      <c r="B30" s="10"/>
      <c r="C30" s="34"/>
    </row>
    <row r="31" spans="1:3" ht="15.6" thickTop="1" thickBot="1" x14ac:dyDescent="0.35">
      <c r="A31" s="10"/>
      <c r="B31" s="10"/>
      <c r="C31" s="34"/>
    </row>
    <row r="32" spans="1:3" ht="15.6" thickTop="1" thickBot="1" x14ac:dyDescent="0.35">
      <c r="A32" s="10"/>
      <c r="B32" s="10"/>
      <c r="C32" s="34"/>
    </row>
    <row r="33" spans="1:3" ht="15.6" thickTop="1" thickBot="1" x14ac:dyDescent="0.35">
      <c r="A33" s="10"/>
      <c r="B33" s="10"/>
      <c r="C33" s="34"/>
    </row>
    <row r="34" spans="1:3" ht="15" thickTop="1" x14ac:dyDescent="0.3">
      <c r="C34" s="12"/>
    </row>
    <row r="35" spans="1:3" x14ac:dyDescent="0.3">
      <c r="C35" s="12"/>
    </row>
    <row r="36" spans="1:3" x14ac:dyDescent="0.3">
      <c r="C36" s="12"/>
    </row>
    <row r="37" spans="1:3" x14ac:dyDescent="0.3">
      <c r="C37" s="12"/>
    </row>
    <row r="38" spans="1:3" x14ac:dyDescent="0.3">
      <c r="C38" s="12"/>
    </row>
    <row r="39" spans="1:3" x14ac:dyDescent="0.3">
      <c r="C39"/>
    </row>
    <row r="40" spans="1:3" x14ac:dyDescent="0.3">
      <c r="C40"/>
    </row>
    <row r="41" spans="1:3" x14ac:dyDescent="0.3">
      <c r="C41"/>
    </row>
    <row r="42" spans="1:3" x14ac:dyDescent="0.3">
      <c r="C42"/>
    </row>
    <row r="43" spans="1:3" x14ac:dyDescent="0.3">
      <c r="C43"/>
    </row>
    <row r="44" spans="1:3" x14ac:dyDescent="0.3">
      <c r="C44"/>
    </row>
    <row r="45" spans="1:3" x14ac:dyDescent="0.3">
      <c r="C45"/>
    </row>
    <row r="46" spans="1:3" x14ac:dyDescent="0.3">
      <c r="C46"/>
    </row>
    <row r="47" spans="1:3" x14ac:dyDescent="0.3">
      <c r="C47"/>
    </row>
    <row r="48" spans="1:3" x14ac:dyDescent="0.3">
      <c r="C48"/>
    </row>
    <row r="49" spans="2:3" x14ac:dyDescent="0.3">
      <c r="C49"/>
    </row>
    <row r="50" spans="2:3" x14ac:dyDescent="0.3">
      <c r="C50"/>
    </row>
    <row r="59" spans="2:3" x14ac:dyDescent="0.3">
      <c r="B59" s="12"/>
    </row>
    <row r="60" spans="2:3" x14ac:dyDescent="0.3">
      <c r="B6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Token</vt:lpstr>
      <vt:lpstr>Transaction_log</vt:lpstr>
      <vt:lpstr>Counter_System</vt:lpstr>
      <vt:lpstr>Wall_Screen</vt:lpstr>
      <vt:lpstr>Admin</vt:lpstr>
      <vt:lpstr>Performance_Report</vt:lpstr>
      <vt:lpstr>counter1_time called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sheetal yogesh</dc:creator>
  <cp:lastModifiedBy>sheetal yogesh</cp:lastModifiedBy>
  <dcterms:created xsi:type="dcterms:W3CDTF">2025-07-05T14:50:07Z</dcterms:created>
  <dcterms:modified xsi:type="dcterms:W3CDTF">2025-07-15T00:44:33Z</dcterms:modified>
</cp:coreProperties>
</file>